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ource" sheetId="2" state="visible" r:id="rId2"/>
    <sheet name="Assumptions" sheetId="3" state="visible" r:id="rId3"/>
    <sheet name="Dashboard" sheetId="4" state="visible" r:id="rId4"/>
    <sheet name="Tr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2"/>
    </font>
    <font>
      <b val="1"/>
    </font>
    <font>
      <i val="1"/>
      <color rgb="00808080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0" fillId="3" borderId="1" pivotButton="0" quotePrefix="0" xfId="0"/>
    <xf numFmtId="0" fontId="3" fillId="0" borderId="0" pivotButton="0" quotePrefix="0" xfId="0"/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F8CBAD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Margin Analytics – Amazon DE</t>
        </is>
      </c>
    </row>
    <row r="2">
      <c r="A2" s="2" t="inlineStr"/>
    </row>
    <row r="3">
      <c r="A3" s="3" t="inlineStr">
        <is>
          <t>How to use this file:</t>
        </is>
      </c>
    </row>
    <row r="4">
      <c r="A4" s="2" t="inlineStr">
        <is>
          <t>1. Upload this .xlsx to Google Drive.</t>
        </is>
      </c>
    </row>
    <row r="5">
      <c r="A5" s="2" t="inlineStr">
        <is>
          <t>2. Right-click → Open with → Google Sheets.</t>
        </is>
      </c>
    </row>
    <row r="6">
      <c r="A6" s="2" t="inlineStr">
        <is>
          <t>3. Go to the 'Source' tab. Cell A1 contains an IMPORTDATA() formula that pulls live data from Novadata. Allow access if Sheets asks.</t>
        </is>
      </c>
    </row>
    <row r="7">
      <c r="A7" s="2" t="inlineStr">
        <is>
          <t>4. The 'Dashboard' tab auto-filters to the latest period for the marketplace selected in 'Assumptions'.</t>
        </is>
      </c>
    </row>
    <row r="8">
      <c r="A8" s="2" t="inlineStr">
        <is>
          <t>5. Change the marketplace, target margins, or 'top sellers only' flag in 'Assumptions' to refocus the dashboard.</t>
        </is>
      </c>
    </row>
    <row r="9">
      <c r="A9" s="2" t="inlineStr"/>
    </row>
    <row r="10">
      <c r="A10" s="3" t="inlineStr">
        <is>
          <t>Tabs:</t>
        </is>
      </c>
    </row>
    <row r="11">
      <c r="A11" s="2" t="inlineStr">
        <is>
          <t>• Source — live Novadata pull (IMPORTDATA). Do not edit.</t>
        </is>
      </c>
    </row>
    <row r="12">
      <c r="A12" s="2" t="inlineStr">
        <is>
          <t>• Assumptions — marketplace, period, target CM1/CM2/CM3%, filters.</t>
        </is>
      </c>
    </row>
    <row r="13">
      <c r="A13" s="2" t="inlineStr">
        <is>
          <t>• Dashboard — per-SKU view for the selected marketplace + latest period.</t>
        </is>
      </c>
    </row>
    <row r="14">
      <c r="A14" s="2" t="inlineStr">
        <is>
          <t>• Trend — pick a SKU and see CM3% / Sales over time.</t>
        </is>
      </c>
    </row>
    <row r="15">
      <c r="A15" s="2" t="inlineStr"/>
    </row>
    <row r="16">
      <c r="A16" s="4" t="inlineStr">
        <is>
          <t>Note: IMPORTDATA only works in Google Sheets, not Excel. If you open this in Excel, the Source tab will be empty.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40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>
        <f>IMPORTDATA("https://app.novadata.io/resources/data-export-download/17715a7b-7eb5-4a11-9476-970df01c7bca")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50" customWidth="1" min="3" max="3"/>
  </cols>
  <sheetData>
    <row r="1">
      <c r="A1" s="5" t="inlineStr">
        <is>
          <t>Assumptions</t>
        </is>
      </c>
    </row>
    <row r="3">
      <c r="A3" s="6" t="inlineStr">
        <is>
          <t>Marketplace</t>
        </is>
      </c>
      <c r="B3" s="7" t="inlineStr">
        <is>
          <t>amazon.de</t>
        </is>
      </c>
      <c r="C3" s="8" t="inlineStr">
        <is>
          <t>amazon.de | amazon.co.uk | amazon.fr | amazon.it | amazon.es | amazon.nl | amazon.ie | amazon.com.be | amazon.se</t>
        </is>
      </c>
    </row>
    <row r="4">
      <c r="A4" s="6" t="inlineStr">
        <is>
          <t>Period (latest available)</t>
        </is>
      </c>
      <c r="B4" s="7">
        <f>IFERROR(MAX(Source!A2:A),"")</f>
        <v/>
      </c>
      <c r="C4" s="8" t="inlineStr">
        <is>
          <t>Auto: max date found in Source.</t>
        </is>
      </c>
    </row>
    <row r="5">
      <c r="A5" s="6" t="inlineStr">
        <is>
          <t>Target CM1 %</t>
        </is>
      </c>
      <c r="B5" s="7" t="n">
        <v>71</v>
      </c>
      <c r="C5" s="8" t="inlineStr">
        <is>
          <t>Gross margin target after COGS only (percent points, e.g. 71 = 71%).</t>
        </is>
      </c>
    </row>
    <row r="6">
      <c r="A6" s="6" t="inlineStr">
        <is>
          <t>Target CM2 %</t>
        </is>
      </c>
      <c r="B6" s="7" t="n">
        <v>33.2</v>
      </c>
      <c r="C6" s="8" t="inlineStr">
        <is>
          <t>Margin target after Amazon fees.</t>
        </is>
      </c>
    </row>
    <row r="7">
      <c r="A7" s="6" t="inlineStr">
        <is>
          <t>Target CM3 %</t>
        </is>
      </c>
      <c r="B7" s="7" t="n">
        <v>19.7</v>
      </c>
      <c r="C7" s="8" t="inlineStr">
        <is>
          <t>Channel margin target after marketing.</t>
        </is>
      </c>
    </row>
    <row r="8">
      <c r="A8" s="6" t="inlineStr">
        <is>
          <t>Top sellers only?</t>
        </is>
      </c>
      <c r="B8" s="7" t="inlineStr">
        <is>
          <t>no</t>
        </is>
      </c>
      <c r="C8" s="8" t="inlineStr">
        <is>
          <t>yes / no — limit Dashboard to SKUs flagged 'Top Seller' for the selected marketplace.</t>
        </is>
      </c>
    </row>
    <row r="9">
      <c r="A9" s="6" t="inlineStr">
        <is>
          <t>Min Days of Supply alert</t>
        </is>
      </c>
      <c r="B9" s="7" t="n">
        <v>30</v>
      </c>
      <c r="C9" s="8" t="inlineStr">
        <is>
          <t>Highlight SKUs in Dashboard with Days of Supply below this.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10" customWidth="1" min="3" max="3"/>
    <col width="8" customWidth="1" min="4" max="4"/>
    <col width="8" customWidth="1" min="5" max="5"/>
    <col width="11" customWidth="1" min="6" max="6"/>
    <col width="9" customWidth="1" min="7" max="7"/>
    <col width="9" customWidth="1" min="8" max="8"/>
    <col width="9" customWidth="1" min="9" max="9"/>
    <col width="10" customWidth="1" min="10" max="10"/>
    <col width="12" customWidth="1" min="11" max="11"/>
    <col width="7" customWidth="1" min="12" max="12"/>
    <col width="7" customWidth="1" min="13" max="13"/>
    <col width="10" customWidth="1" min="14" max="14"/>
    <col width="10" customWidth="1" min="15" max="15"/>
    <col width="11" customWidth="1" min="16" max="16"/>
  </cols>
  <sheetData>
    <row r="1">
      <c r="A1" s="5" t="inlineStr">
        <is>
          <t>Margin Dashboard</t>
        </is>
      </c>
    </row>
    <row r="2">
      <c r="A2" s="6" t="inlineStr">
        <is>
          <t>Marketplace:</t>
        </is>
      </c>
      <c r="B2">
        <f>Assumptions!B3</f>
        <v/>
      </c>
      <c r="D2" s="6" t="inlineStr">
        <is>
          <t>Period:</t>
        </is>
      </c>
      <c r="E2">
        <f>Assumptions!B4</f>
        <v/>
      </c>
      <c r="G2" s="6" t="inlineStr">
        <is>
          <t>Target CM3%:</t>
        </is>
      </c>
      <c r="H2">
        <f>Assumptions!B7</f>
        <v/>
      </c>
    </row>
    <row r="4" ht="32" customHeight="1">
      <c r="A4" s="9" t="inlineStr">
        <is>
          <t>SKU</t>
        </is>
      </c>
      <c r="B4" s="9" t="inlineStr">
        <is>
          <t>Product</t>
        </is>
      </c>
      <c r="C4" s="9" t="inlineStr">
        <is>
          <t>Top Seller</t>
        </is>
      </c>
      <c r="D4" s="9" t="inlineStr">
        <is>
          <t>Orders</t>
        </is>
      </c>
      <c r="E4" s="9" t="inlineStr">
        <is>
          <t>Units</t>
        </is>
      </c>
      <c r="F4" s="9" t="inlineStr">
        <is>
          <t>Sales (€)</t>
        </is>
      </c>
      <c r="G4" s="9" t="inlineStr">
        <is>
          <t>CM1 %</t>
        </is>
      </c>
      <c r="H4" s="9" t="inlineStr">
        <is>
          <t>CM2 %</t>
        </is>
      </c>
      <c r="I4" s="9" t="inlineStr">
        <is>
          <t>CM3 %</t>
        </is>
      </c>
      <c r="J4" s="9" t="inlineStr">
        <is>
          <t>Δ CM3 vs target</t>
        </is>
      </c>
      <c r="K4" s="9" t="inlineStr">
        <is>
          <t>Ad Spend (€)</t>
        </is>
      </c>
      <c r="L4" s="9" t="inlineStr">
        <is>
          <t>ROAS</t>
        </is>
      </c>
      <c r="M4" s="9" t="inlineStr">
        <is>
          <t>CTR %</t>
        </is>
      </c>
      <c r="N4" s="9" t="inlineStr">
        <is>
          <t>FBA Avail</t>
        </is>
      </c>
      <c r="O4" s="9" t="inlineStr">
        <is>
          <t>Days Supply</t>
        </is>
      </c>
      <c r="P4" s="9" t="inlineStr">
        <is>
          <t>Sales Velocity</t>
        </is>
      </c>
      <c r="Q4" s="9" t="inlineStr">
        <is>
          <t>ASIN</t>
        </is>
      </c>
    </row>
    <row r="5">
      <c r="A5">
        <f>IFERROR(FILTER(Source!H2:H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  <c r="B5">
        <f>IFERROR(FILTER(Source!I2:I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  <c r="C5">
        <f>IFERROR(FILTER(CHOOSE(MATCH(Assumptions!B3,{"amazon.de","amazon.co.uk","amazon.fr","amazon.es","amazon.it"},0),Source!Z2:Z,Source!W2:W,Source!X2:X,Source!Y2:Y,Source!AA2:AA)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  <c r="D5">
        <f>IFERROR(FILTER(Source!P2:P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  <c r="E5">
        <f>IFERROR(FILTER(Source!Q2:Q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  <c r="F5">
        <f>IFERROR(FILTER(Source!R2:R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  <c r="G5">
        <f>IFERROR(FILTER(Source!J2:J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  <c r="H5">
        <f>IFERROR(FILTER(Source!K2:K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  <c r="I5">
        <f>IFERROR(FILTER(Source!L2:L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  <c r="J5">
        <f>ARRAYFORMULA(IF(LEN(I5:I)=0,,IFERROR(I5:I*1-Assumptions!B7*1,"")))</f>
        <v/>
      </c>
      <c r="K5">
        <f>IFERROR(FILTER(Source!M2:M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  <c r="L5">
        <f>IFERROR(FILTER(Source!N2:N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  <c r="M5">
        <f>IFERROR(FILTER(Source!O2:O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  <c r="N5">
        <f>IFERROR(FILTER(Source!S2:S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  <c r="O5">
        <f>IFERROR(FILTER(Source!T2:T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  <c r="P5">
        <f>IFERROR(FILTER(Source!U2:U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  <c r="Q5">
        <f>IFERROR(FILTER(Source!G2:G,(Source!E2:E=Assumptions!B3)*(Source!A2:A=Assumptions!B4)*(IF(LOWER(Assumptions!B8)="yes",CHOOSE(MATCH(Assumptions!B3,{"amazon.de","amazon.co.uk","amazon.fr","amazon.es","amazon.it"},0),Source!Z2:Z,Source!W2:W,Source!X2:X,Source!Y2:Y,Source!AA2:AA)="Top Seller",1))),"")</f>
        <v/>
      </c>
    </row>
  </sheetData>
  <mergeCells count="1">
    <mergeCell ref="A1:Q1"/>
  </mergeCells>
  <conditionalFormatting sqref="I5:I500">
    <cfRule type="expression" priority="1" dxfId="0" stopIfTrue="0">
      <formula>AND(ISNUMBER(I5),I5&lt;Assumptions!$B$7)</formula>
    </cfRule>
    <cfRule type="expression" priority="2" dxfId="1" stopIfTrue="0">
      <formula>AND(ISNUMBER(I5),I5&gt;=Assumptions!$B$7)</formula>
    </cfRule>
  </conditionalFormatting>
  <conditionalFormatting sqref="O5:O500">
    <cfRule type="expression" priority="3" dxfId="0" stopIfTrue="0">
      <formula>AND(ISNUMBER(O5),O5&lt;Assumptions!$B$9)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50" customWidth="1" min="3" max="3"/>
  </cols>
  <sheetData>
    <row r="1">
      <c r="A1" s="5" t="inlineStr">
        <is>
          <t>SKU Trend</t>
        </is>
      </c>
    </row>
    <row r="3">
      <c r="A3" s="6" t="inlineStr">
        <is>
          <t>SKU to inspect</t>
        </is>
      </c>
      <c r="B3" s="7" t="inlineStr">
        <is>
          <t>VV-VITA-50</t>
        </is>
      </c>
      <c r="C3" s="8" t="inlineStr">
        <is>
          <t>Type a SKU exactly as it appears in Source (e.g. VV-VITA-50).</t>
        </is>
      </c>
    </row>
    <row r="4">
      <c r="A4" s="6" t="inlineStr">
        <is>
          <t>Marketplace</t>
        </is>
      </c>
      <c r="B4">
        <f>Assumptions!B3</f>
        <v/>
      </c>
    </row>
    <row r="6">
      <c r="A6" s="9" t="inlineStr">
        <is>
          <t>Period</t>
        </is>
      </c>
      <c r="B6" s="9" t="inlineStr">
        <is>
          <t>CM1 %</t>
        </is>
      </c>
      <c r="C6" s="9" t="inlineStr">
        <is>
          <t>CM2 %</t>
        </is>
      </c>
      <c r="D6" s="9" t="inlineStr">
        <is>
          <t>CM3 %</t>
        </is>
      </c>
      <c r="E6" s="9" t="inlineStr">
        <is>
          <t>Sales (€)</t>
        </is>
      </c>
      <c r="F6" s="9" t="inlineStr">
        <is>
          <t>Orders</t>
        </is>
      </c>
      <c r="G6" s="9" t="inlineStr">
        <is>
          <t>Ad Spend (€)</t>
        </is>
      </c>
      <c r="H6" s="9" t="inlineStr">
        <is>
          <t>ROAS</t>
        </is>
      </c>
    </row>
    <row r="7">
      <c r="A7">
        <f>IFERROR(SORT(FILTER(Source!A2:A,(Source!H2:H=$B$3)*(Source!E2:E=$B$4))),"")</f>
        <v/>
      </c>
      <c r="B7">
        <f>IFERROR(SORT(FILTER(Source!J2:J,(Source!H2:H=$B$3)*(Source!E2:E=$B$4)),FILTER(Source!A2:A,(Source!H2:H=$B$3)*(Source!E2:E=$B$4)),TRUE),"")</f>
        <v/>
      </c>
      <c r="C7">
        <f>IFERROR(SORT(FILTER(Source!K2:K,(Source!H2:H=$B$3)*(Source!E2:E=$B$4)),FILTER(Source!A2:A,(Source!H2:H=$B$3)*(Source!E2:E=$B$4)),TRUE),"")</f>
        <v/>
      </c>
      <c r="D7">
        <f>IFERROR(SORT(FILTER(Source!L2:L,(Source!H2:H=$B$3)*(Source!E2:E=$B$4)),FILTER(Source!A2:A,(Source!H2:H=$B$3)*(Source!E2:E=$B$4)),TRUE),"")</f>
        <v/>
      </c>
      <c r="E7">
        <f>IFERROR(SORT(FILTER(Source!R2:R,(Source!H2:H=$B$3)*(Source!E2:E=$B$4)),FILTER(Source!A2:A,(Source!H2:H=$B$3)*(Source!E2:E=$B$4)),TRUE),"")</f>
        <v/>
      </c>
      <c r="F7">
        <f>IFERROR(SORT(FILTER(Source!P2:P,(Source!H2:H=$B$3)*(Source!E2:E=$B$4)),FILTER(Source!A2:A,(Source!H2:H=$B$3)*(Source!E2:E=$B$4)),TRUE),"")</f>
        <v/>
      </c>
      <c r="G7">
        <f>IFERROR(SORT(FILTER(Source!M2:M,(Source!H2:H=$B$3)*(Source!E2:E=$B$4)),FILTER(Source!A2:A,(Source!H2:H=$B$3)*(Source!E2:E=$B$4)),TRUE),"")</f>
        <v/>
      </c>
      <c r="H7">
        <f>IFERROR(SORT(FILTER(Source!N2:N,(Source!H2:H=$B$3)*(Source!E2:E=$B$4)),FILTER(Source!A2:A,(Source!H2:H=$B$3)*(Source!E2:E=$B$4)),TRUE),"")</f>
        <v/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2026-05-18T14:08:55Z</dcterms:created>
  <dcterms:modified xsi:type="dcterms:W3CDTF">2026-05-18T14:08:55Z</dcterms:modified>
</cp:coreProperties>
</file>